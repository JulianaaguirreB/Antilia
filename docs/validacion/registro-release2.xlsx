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Participantes" sheetId="3" state="visible" r:id="rId5"/>
    <sheet name="Tareas" sheetId="4" state="visible" r:id="rId6"/>
    <sheet name="SUS" sheetId="5" state="visible" r:id="rId7"/>
    <sheet name="Hallazgos" sheetId="6" state="visible" r:id="rId8"/>
  </sheets>
  <definedNames>
    <definedName function="false" hidden="true" localSheetId="3" name="_xlnm._FilterDatabase" vbProcedure="false">Tareas!$A$4:$I$45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<sst xmlns="http://schemas.openxmlformats.org/spreadsheetml/2006/main" count="327" uniqueCount="192">
  <si>
    <t xml:space="preserve">Registro de validación · Release 2 · Antilia</t>
  </si>
  <si>
    <t xml:space="preserve">Formato de registro de docs/validacion/plan-release2.md (tareas) y docs/validacion/protocolo-release1.md (guion). Responsable: QA.</t>
  </si>
  <si>
    <t xml:space="preserve">Cómo usar este archivo</t>
  </si>
  <si>
    <t xml:space="preserve">Celdas amarillas</t>
  </si>
  <si>
    <t xml:space="preserve">Se diligencian a mano durante o después de cada sesión.</t>
  </si>
  <si>
    <t xml:space="preserve">Celdas azules</t>
  </si>
  <si>
    <t xml:space="preserve">Tienen fórmulas. No se escriben a mano.</t>
  </si>
  <si>
    <t xml:space="preserve">Filas grises «Ejemplo»</t>
  </si>
  <si>
    <t xml:space="preserve">Muestran el formato esperado. No se cuentan en los resultados porque su código no empieza por P.</t>
  </si>
  <si>
    <t xml:space="preserve">Códigos</t>
  </si>
  <si>
    <t xml:space="preserve">Cada participante usa un código P01, P02… igual en todas las hojas. El nombre real no se escribe en este archivo.</t>
  </si>
  <si>
    <t xml:space="preserve">Participantes</t>
  </si>
  <si>
    <t xml:space="preserve">Perfil, elegibilidad, consentimiento, modalidad, versión probada y enlace a la evidencia.</t>
  </si>
  <si>
    <t xml:space="preserve">Tareas</t>
  </si>
  <si>
    <t xml:space="preserve">Una fila por participante y tarea: resultado (Éxito o Fracaso), tiempo en segundos, errores y cita textual.</t>
  </si>
  <si>
    <t xml:space="preserve">SUS</t>
  </si>
  <si>
    <t xml:space="preserve">Las diez calificaciones de 1 a 5 de cada participante. El puntaje se calcula solo cuando las diez están completas.</t>
  </si>
  <si>
    <t xml:space="preserve">Hallazgos</t>
  </si>
  <si>
    <t xml:space="preserve">Problemas observados, ordenados por severidad (4 a 1) y frecuencia. Numerar H1, H2…</t>
  </si>
  <si>
    <t xml:space="preserve">Resumen</t>
  </si>
  <si>
    <t xml:space="preserve">Tasa de éxito por tarea, SUS promedio y si el release cumple el criterio de validación.</t>
  </si>
  <si>
    <t xml:space="preserve">Criterio de validación</t>
  </si>
  <si>
    <t xml:space="preserve">Cada tarea completada por al menos 4 de cada 5 participantes (80 %) y SUS promedio ≥ 68.</t>
  </si>
  <si>
    <t xml:space="preserve">Tareas (definidas en el plan del 25/10/2026)</t>
  </si>
  <si>
    <t xml:space="preserve">Tarea</t>
  </si>
  <si>
    <t xml:space="preserve">Texto leído · Criterio de éxito · Límite</t>
  </si>
  <si>
    <t xml:space="preserve">T1</t>
  </si>
  <si>
    <t xml:space="preserve">«Cree un espacio para su escritorio y agréguele una cosa que tenga que ordenar hoy.» · Crea el espacio y una tarea asociada; al recargar, ambos siguen ahí · Límite: 120 s</t>
  </si>
  <si>
    <t xml:space="preserve">T2</t>
  </si>
  <si>
    <t xml:space="preserve">«Planee cómo quiere su mesa: elija un modelo y ubique su portátil y sus libretas.» · Elige una mesa, coloca al menos dos tarjetas con nombre y guarda · Límite: 180 s</t>
  </si>
  <si>
    <t xml:space="preserve">T3</t>
  </si>
  <si>
    <t xml:space="preserve">«Anote un correo que tenga pendiente por responder y márquelo como resuelto.» · Crea un correo pendiente en Correos y archivos y lo completa · Límite: 60 s</t>
  </si>
  <si>
    <t xml:space="preserve">T4</t>
  </si>
  <si>
    <t xml:space="preserve">«Complete una de sus tareas y muéstreme cómo cambió Lumi.» · Completa una tarea y llega a la pantalla de racha con Lumi encendida · Límite: 45 s</t>
  </si>
  <si>
    <t xml:space="preserve">T5</t>
  </si>
  <si>
    <t xml:space="preserve">«Escenario del hallazgo de mayor severidad del Release 1 con update (redactar el 26/10).» · Se cumple el criterio de terminado del update U01 o U02 · Límite: sin límite de tiempo</t>
  </si>
  <si>
    <t xml:space="preserve">Afirmaciones SUS (1 = totalmente en desacuerdo, 5 = totalmente de acuerdo)</t>
  </si>
  <si>
    <t xml:space="preserve">Q1 (impar: respuesta − 1)</t>
  </si>
  <si>
    <t xml:space="preserve">Creo que me gustaría usar esta aplicación con frecuencia.</t>
  </si>
  <si>
    <t xml:space="preserve">Q2 (par: 5 − respuesta)</t>
  </si>
  <si>
    <t xml:space="preserve">Encontré la aplicación innecesariamente compleja.</t>
  </si>
  <si>
    <t xml:space="preserve">Q3 (impar: respuesta − 1)</t>
  </si>
  <si>
    <t xml:space="preserve">Pensé que la aplicación era fácil de usar.</t>
  </si>
  <si>
    <t xml:space="preserve">Q4 (par: 5 − respuesta)</t>
  </si>
  <si>
    <t xml:space="preserve">Creo que necesitaría el apoyo de una persona experta para poder usar esta aplicación.</t>
  </si>
  <si>
    <t xml:space="preserve">Q5 (impar: respuesta − 1)</t>
  </si>
  <si>
    <t xml:space="preserve">Encontré que las funciones de la aplicación estaban bien integradas.</t>
  </si>
  <si>
    <t xml:space="preserve">Q6 (par: 5 − respuesta)</t>
  </si>
  <si>
    <t xml:space="preserve">Pensé que había demasiada inconsistencia en la aplicación.</t>
  </si>
  <si>
    <t xml:space="preserve">Q7 (impar: respuesta − 1)</t>
  </si>
  <si>
    <t xml:space="preserve">Imagino que la mayoría de las personas aprendería a usar esta aplicación muy rápidamente.</t>
  </si>
  <si>
    <t xml:space="preserve">Q8 (par: 5 − respuesta)</t>
  </si>
  <si>
    <t xml:space="preserve">Encontré la aplicación muy engorrosa de usar.</t>
  </si>
  <si>
    <t xml:space="preserve">Q9 (impar: respuesta − 1)</t>
  </si>
  <si>
    <t xml:space="preserve">Me sentí muy seguro o segura usando la aplicación.</t>
  </si>
  <si>
    <t xml:space="preserve">Q10 (par: 5 − respuesta)</t>
  </si>
  <si>
    <t xml:space="preserve">Necesité aprender muchas cosas antes de poder empezar a usar esta aplicación.</t>
  </si>
  <si>
    <t xml:space="preserve">Puntaje</t>
  </si>
  <si>
    <t xml:space="preserve">Suma de los diez valores ajustados × 2,5 (0 a 100). Por debajo de 51: problemas serios · 68: promedio de la industria · por encima de 80: excelente.</t>
  </si>
  <si>
    <t xml:space="preserve">Severidad de hallazgos</t>
  </si>
  <si>
    <t xml:space="preserve">4 · Crítico</t>
  </si>
  <si>
    <t xml:space="preserve">Impide completar una tarea del recorrido principal</t>
  </si>
  <si>
    <t xml:space="preserve">3 · Grave</t>
  </si>
  <si>
    <t xml:space="preserve">Se completa con mucha dificultad o fuera de tiempo, o afecta a dos o más participantes</t>
  </si>
  <si>
    <t xml:space="preserve">2 · Moderado</t>
  </si>
  <si>
    <t xml:space="preserve">Causa duda o un error que el participante corrige solo</t>
  </si>
  <si>
    <t xml:space="preserve">1 · Menor</t>
  </si>
  <si>
    <t xml:space="preserve">Problema de forma o texto que no afecta el resultado</t>
  </si>
  <si>
    <t xml:space="preserve">Resumen de la validación del Release 2</t>
  </si>
  <si>
    <t xml:space="preserve">Todo se calcula a partir de las otras hojas. Solo se cuentan códigos que empiezan por P.</t>
  </si>
  <si>
    <t xml:space="preserve">Con resultado</t>
  </si>
  <si>
    <t xml:space="preserve">Éxitos</t>
  </si>
  <si>
    <t xml:space="preserve">Tasa de éxito</t>
  </si>
  <si>
    <t xml:space="preserve">Cumple ≥ 80 %</t>
  </si>
  <si>
    <t xml:space="preserve">Tiempo promedio (s)</t>
  </si>
  <si>
    <t xml:space="preserve">T1 · Crea el espacio y una tarea asociada; al recargar, ambos siguen ahí</t>
  </si>
  <si>
    <t xml:space="preserve">T2 · Elige una mesa, coloca al menos dos tarjetas con nombre y guarda</t>
  </si>
  <si>
    <t xml:space="preserve">T3 · Crea un correo pendiente en Correos y archivos y lo completa</t>
  </si>
  <si>
    <t xml:space="preserve">T4 · Completa una tarea y llega a la pantalla de racha con Lumi encendida</t>
  </si>
  <si>
    <t xml:space="preserve">T5 · Se cumple el criterio de terminado del update U01 o U02</t>
  </si>
  <si>
    <t xml:space="preserve">Indicador</t>
  </si>
  <si>
    <t xml:space="preserve">Valor</t>
  </si>
  <si>
    <t xml:space="preserve">Participantes registrados</t>
  </si>
  <si>
    <t xml:space="preserve">Participantes elegibles</t>
  </si>
  <si>
    <t xml:space="preserve">Participantes no elegibles (deben salir)</t>
  </si>
  <si>
    <t xml:space="preserve">Consentimientos grabados</t>
  </si>
  <si>
    <t xml:space="preserve">SUS completos</t>
  </si>
  <si>
    <t xml:space="preserve">SUS promedio</t>
  </si>
  <si>
    <t xml:space="preserve">SUS mínimo</t>
  </si>
  <si>
    <t xml:space="preserve">SUS máximo</t>
  </si>
  <si>
    <t xml:space="preserve">Interpretación del SUS</t>
  </si>
  <si>
    <t xml:space="preserve">Tareas que cumplen ≥ 80 %</t>
  </si>
  <si>
    <t xml:space="preserve">Hallazgos registrados</t>
  </si>
  <si>
    <t xml:space="preserve">Hallazgos críticos o graves</t>
  </si>
  <si>
    <t xml:space="preserve">Hallazgos con update que los responde</t>
  </si>
  <si>
    <t xml:space="preserve">¿Release validado?</t>
  </si>
  <si>
    <t xml:space="preserve">Criterio: 5 o más participantes elegibles con SUS completo, cada tarea ≥ 80 % y SUS promedio ≥ 68.</t>
  </si>
  <si>
    <t xml:space="preserve">Una fila por participante. Elegible = no es compañero, familiar ni amigo de nadie del equipo y cumple el perfil.</t>
  </si>
  <si>
    <t xml:space="preserve">Código</t>
  </si>
  <si>
    <t xml:space="preserve">Cargo / perfil</t>
  </si>
  <si>
    <t xml:space="preserve">Tamaño empresa (empleados)</t>
  </si>
  <si>
    <t xml:space="preserve">Fuente de contacto</t>
  </si>
  <si>
    <t xml:space="preserve">Elegible</t>
  </si>
  <si>
    <t xml:space="preserve">Modalidad</t>
  </si>
  <si>
    <t xml:space="preserve">Fecha</t>
  </si>
  <si>
    <t xml:space="preserve">Moderador</t>
  </si>
  <si>
    <t xml:space="preserve">Observador QA</t>
  </si>
  <si>
    <t xml:space="preserve">Consentimiento grabado</t>
  </si>
  <si>
    <t xml:space="preserve">Celular y navegador</t>
  </si>
  <si>
    <t xml:space="preserve">Versión probada</t>
  </si>
  <si>
    <t xml:space="preserve">Enlace a evidencia (carpeta del equipo)</t>
  </si>
  <si>
    <t xml:space="preserve">Ejemplo</t>
  </si>
  <si>
    <t xml:space="preserve">Auxiliar administrativa</t>
  </si>
  <si>
    <t xml:space="preserve">Contacto CBA Ingenieros</t>
  </si>
  <si>
    <t xml:space="preserve">Sí</t>
  </si>
  <si>
    <t xml:space="preserve">Videollamada</t>
  </si>
  <si>
    <t xml:space="preserve">25/10/2026</t>
  </si>
  <si>
    <t xml:space="preserve">Alejandro Macías</t>
  </si>
  <si>
    <t xml:space="preserve">Samuel Montealegre</t>
  </si>
  <si>
    <t xml:space="preserve">Android · Chrome</t>
  </si>
  <si>
    <t xml:space="preserve">v0.2 (URL fija)</t>
  </si>
  <si>
    <t xml:space="preserve">Drive/Validacion_R1/Ejemplo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</si>
  <si>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</si>
  <si>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</si>
  <si>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</si>
  <si>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</si>
  <si>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</si>
  <si>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</si>
  <si>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</si>
  <si>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</si>
  <si>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Resultados por tarea</t>
  </si>
  <si>
    <t xml:space="preserve">Éxito = cumple el criterio sin ayuda. Bloqueo de más de 3 minutos = Fracaso. Completar fuera de tiempo = Fracaso.</t>
  </si>
  <si>
    <t xml:space="preserve">Participante</t>
  </si>
  <si>
    <t xml:space="preserve">Criterio de éxito</t>
  </si>
  <si>
    <t xml:space="preserve">Resultado</t>
  </si>
  <si>
    <t xml:space="preserve">Tiempo (s)</t>
  </si>
  <si>
    <t xml:space="preserve">Límite (s)</t>
  </si>
  <si>
    <t xml:space="preserve">Fuera de tiempo</t>
  </si>
  <si>
    <t xml:space="preserve">Errores observados</t>
  </si>
  <si>
    <t xml:space="preserve">Cita textual</t>
  </si>
  <si>
    <t xml:space="preserve">Completa una tarea y llega a la pantalla de racha con Lumi encendida</t>
  </si>
  <si>
    <t xml:space="preserve">Fracaso</t>
  </si>
  <si>
    <t xml:space="preserve">Completó la tarea pero buscó a Lumi en Perfil</t>
  </si>
  <si>
    <t xml:space="preserve">«¿Dónde está la mascota?»</t>
  </si>
  <si>
    <t xml:space="preserve">Crea el espacio y una tarea asociada; al recargar, ambos siguen ahí</t>
  </si>
  <si>
    <t xml:space="preserve">Elige una mesa, coloca al menos dos tarjetas con nombre y guarda</t>
  </si>
  <si>
    <t xml:space="preserve">Crea un correo pendiente en Correos y archivos y lo completa</t>
  </si>
  <si>
    <t xml:space="preserve">Se cumple el criterio de terminado del update U01 o U02</t>
  </si>
  <si>
    <t xml:space="preserve">Cuestionario SUS</t>
  </si>
  <si>
    <t xml:space="preserve">Calificaciones de 1 a 5. El puntaje aparece cuando las diez respuestas están completas.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</si>
  <si>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</si>
  <si>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</si>
  <si>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</si>
  <si>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</si>
  <si>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</si>
  <si>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</si>
  <si>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</si>
  <si>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</si>
  <si>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</si>
  <si>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</si>
  <si>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Puntaje SUS</t>
  </si>
  <si>
    <t xml:space="preserve">¿Qué fue lo más difícil?</t>
  </si>
  <si>
    <t xml:space="preserve">¿Qué le haría volver a usarla mañana?</t>
  </si>
  <si>
    <t xml:space="preserve">Encontrar dónde se ve el récord</t>
  </si>
  <si>
    <t xml:space="preserve">Que me recuerde a la hora de salida</t>
  </si>
  <si>
    <t xml:space="preserve">Promedio</t>
  </si>
  <si>
    <t xml:space="preserve">Hallazgos priorizados</t>
  </si>
  <si>
    <t xml:space="preserve">Ordenar por severidad (4 a 1) y luego por participantes afectados. Solo problemas observados con evidencia.</t>
  </si>
  <si>
    <t xml:space="preserve">ID</t>
  </si>
  <si>
    <t xml:space="preserve">Hallazgo (qué pasó)</t>
  </si>
  <si>
    <t xml:space="preserve">Participantes afectados</t>
  </si>
  <si>
    <t xml:space="preserve">Participantes evaluados</t>
  </si>
  <si>
    <t xml:space="preserve">Frecuencia</t>
  </si>
  <si>
    <t xml:space="preserve">Severidad (1–4)</t>
  </si>
  <si>
    <t xml:space="preserve">Nivel</t>
  </si>
  <si>
    <t xml:space="preserve">Evidencia (código y minuto)</t>
  </si>
  <si>
    <t xml:space="preserve">Update que lo responde</t>
  </si>
  <si>
    <t xml:space="preserve">Criterio de terminado del update</t>
  </si>
  <si>
    <t xml:space="preserve">No encontraron el filtro de tareas digitales; buscaron en Progreso</t>
  </si>
  <si>
    <t xml:space="preserve">P02 min 6:10; P04 min 7:45; P05 min 5:30</t>
  </si>
  <si>
    <t xml:space="preserve">Update 0X</t>
  </si>
  <si>
    <t xml:space="preserve">Desde Inicio, el usuario filtra sus tareas digitales en menos de 20 s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</si>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</sst>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4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1A4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DB"/>
        <bgColor rgb="FFF6F7FA"/>
      </patternFill>
    </fill>
    <fill>
      <patternFill patternType="solid">
        <fgColor rgb="FFE8EEFB"/>
        <bgColor rgb="FFEDEDED"/>
      </patternFill>
    </fill>
    <fill>
      <patternFill patternType="solid">
        <fgColor rgb="FFEDEDED"/>
        <bgColor rgb="FFE8EEFB"/>
      </patternFill>
    </fill>
    <fill>
      <patternFill patternType="solid">
        <fgColor rgb="FF0B1A49"/>
        <bgColor rgb="FF000080"/>
      </patternFill>
    </fill>
    <fill>
      <patternFill patternType="solid">
        <fgColor rgb="FFF6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C00000"/>
      </font>
    </dxf>
    <dxf>
      <fill>
        <patternFill patternType="solid">
          <fgColor rgb="FF0B1A4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6F7FA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E8EEFB"/>
          <bgColor rgb="FF000000"/>
        </patternFill>
      </fill>
    </dxf>
    <dxf>
      <font>
        <name val="Arial"/>
        <charset val="1"/>
        <family val="0"/>
        <b val="1"/>
        <color rgb="FF1E7B34"/>
      </font>
    </dxf>
    <dxf>
      <font>
        <name val="Arial"/>
        <charset val="1"/>
        <family val="0"/>
        <b val="1"/>
        <color rgb="FFB45F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8EEFB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F6F7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A49"/>
      <rgbColor rgb="FF339966"/>
      <rgbColor rgb="FF003300"/>
      <rgbColor rgb="FF333300"/>
      <rgbColor rgb="FFB45F06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8" t="s">
        <v>9</v>
      </c>
      <c r="B8" s="4" t="s">
        <v>10</v>
      </c>
    </row>
    <row r="9" customFormat="false" ht="15" hidden="false" customHeight="false" outlineLevel="0" collapsed="false">
      <c r="A9" s="8" t="s">
        <v>11</v>
      </c>
      <c r="B9" s="4" t="s">
        <v>12</v>
      </c>
    </row>
    <row r="10" customFormat="false" ht="15" hidden="false" customHeight="false" outlineLevel="0" collapsed="false">
      <c r="A10" s="8" t="s">
        <v>13</v>
      </c>
      <c r="B10" s="4" t="s">
        <v>14</v>
      </c>
    </row>
    <row r="11" customFormat="false" ht="15" hidden="false" customHeight="false" outlineLevel="0" collapsed="false">
      <c r="A11" s="8" t="s">
        <v>15</v>
      </c>
      <c r="B11" s="4" t="s">
        <v>16</v>
      </c>
    </row>
    <row r="12" customFormat="false" ht="15" hidden="false" customHeight="false" outlineLevel="0" collapsed="false">
      <c r="A12" s="8" t="s">
        <v>17</v>
      </c>
      <c r="B12" s="4" t="s">
        <v>18</v>
      </c>
    </row>
    <row r="13" customFormat="false" ht="15" hidden="false" customHeight="false" outlineLevel="0" collapsed="false">
      <c r="A13" s="8" t="s">
        <v>19</v>
      </c>
      <c r="B13" s="4" t="s">
        <v>20</v>
      </c>
    </row>
    <row r="14" customFormat="false" ht="15" hidden="false" customHeight="false" outlineLevel="0" collapsed="false">
      <c r="A14" s="8" t="s">
        <v>21</v>
      </c>
      <c r="B14" s="4" t="s">
        <v>22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23</v>
      </c>
      <c r="B16" s="4"/>
    </row>
    <row r="17" customFormat="false" ht="31.5" hidden="false" customHeight="true" outlineLevel="0" collapsed="false">
      <c r="A17" s="9" t="s">
        <v>24</v>
      </c>
      <c r="B17" s="9" t="s">
        <v>25</v>
      </c>
    </row>
    <row r="18" customFormat="false" ht="23.85" hidden="false" customHeight="false" outlineLevel="0" collapsed="false">
      <c r="A18" s="10" t="s">
        <v>26</v>
      </c>
      <c r="B18" s="10" t="s">
        <v>27</v>
      </c>
    </row>
    <row r="19" customFormat="false" ht="23.85" hidden="false" customHeight="false" outlineLevel="0" collapsed="false">
      <c r="A19" s="10" t="s">
        <v>28</v>
      </c>
      <c r="B19" s="10" t="s">
        <v>29</v>
      </c>
    </row>
    <row r="20" customFormat="false" ht="23.85" hidden="false" customHeight="false" outlineLevel="0" collapsed="false">
      <c r="A20" s="10" t="s">
        <v>30</v>
      </c>
      <c r="B20" s="10" t="s">
        <v>31</v>
      </c>
    </row>
    <row r="21" customFormat="false" ht="23.85" hidden="false" customHeight="false" outlineLevel="0" collapsed="false">
      <c r="A21" s="10" t="s">
        <v>32</v>
      </c>
      <c r="B21" s="10" t="s">
        <v>33</v>
      </c>
    </row>
    <row r="22" customFormat="false" ht="23.85" hidden="false" customHeight="false" outlineLevel="0" collapsed="false">
      <c r="A22" s="10" t="s">
        <v>34</v>
      </c>
      <c r="B22" s="10" t="s">
        <v>35</v>
      </c>
    </row>
    <row r="24" customFormat="false" ht="15" hidden="false" customHeight="false" outlineLevel="0" collapsed="false">
      <c r="A24" s="3" t="s">
        <v>36</v>
      </c>
    </row>
    <row r="25" customFormat="false" ht="15" hidden="false" customHeight="false" outlineLevel="0" collapsed="false">
      <c r="A25" s="10" t="s">
        <v>37</v>
      </c>
      <c r="B25" s="10" t="s">
        <v>38</v>
      </c>
    </row>
    <row r="26" customFormat="false" ht="15" hidden="false" customHeight="false" outlineLevel="0" collapsed="false">
      <c r="A26" s="10" t="s">
        <v>39</v>
      </c>
      <c r="B26" s="10" t="s">
        <v>40</v>
      </c>
    </row>
    <row r="27" customFormat="false" ht="15" hidden="false" customHeight="false" outlineLevel="0" collapsed="false">
      <c r="A27" s="10" t="s">
        <v>41</v>
      </c>
      <c r="B27" s="10" t="s">
        <v>42</v>
      </c>
    </row>
    <row r="28" customFormat="false" ht="15" hidden="false" customHeight="false" outlineLevel="0" collapsed="false">
      <c r="A28" s="10" t="s">
        <v>43</v>
      </c>
      <c r="B28" s="10" t="s">
        <v>44</v>
      </c>
    </row>
    <row r="29" customFormat="false" ht="15" hidden="false" customHeight="false" outlineLevel="0" collapsed="false">
      <c r="A29" s="10" t="s">
        <v>45</v>
      </c>
      <c r="B29" s="10" t="s">
        <v>46</v>
      </c>
    </row>
    <row r="30" customFormat="false" ht="15" hidden="false" customHeight="false" outlineLevel="0" collapsed="false">
      <c r="A30" s="10" t="s">
        <v>47</v>
      </c>
      <c r="B30" s="10" t="s">
        <v>48</v>
      </c>
    </row>
    <row r="31" customFormat="false" ht="15" hidden="false" customHeight="false" outlineLevel="0" collapsed="false">
      <c r="A31" s="10" t="s">
        <v>49</v>
      </c>
      <c r="B31" s="10" t="s">
        <v>50</v>
      </c>
    </row>
    <row r="32" customFormat="false" ht="15" hidden="false" customHeight="false" outlineLevel="0" collapsed="false">
      <c r="A32" s="10" t="s">
        <v>51</v>
      </c>
      <c r="B32" s="10" t="s">
        <v>52</v>
      </c>
    </row>
    <row r="33" customFormat="false" ht="15" hidden="false" customHeight="false" outlineLevel="0" collapsed="false">
      <c r="A33" s="10" t="s">
        <v>53</v>
      </c>
      <c r="B33" s="10" t="s">
        <v>54</v>
      </c>
    </row>
    <row r="34" customFormat="false" ht="15" hidden="false" customHeight="false" outlineLevel="0" collapsed="false">
      <c r="A34" s="10" t="s">
        <v>55</v>
      </c>
      <c r="B34" s="10" t="s">
        <v>56</v>
      </c>
    </row>
    <row r="35" customFormat="false" ht="28.35" hidden="false" customHeight="false" outlineLevel="0" collapsed="false">
      <c r="A35" s="3" t="s">
        <v>57</v>
      </c>
      <c r="B35" s="11" t="s">
        <v>58</v>
      </c>
    </row>
    <row r="37" customFormat="false" ht="15" hidden="false" customHeight="false" outlineLevel="0" collapsed="false">
      <c r="A37" s="3" t="s">
        <v>59</v>
      </c>
    </row>
    <row r="38" customFormat="false" ht="15" hidden="false" customHeight="false" outlineLevel="0" collapsed="false">
      <c r="A38" s="10" t="s">
        <v>60</v>
      </c>
      <c r="B38" s="10" t="s">
        <v>61</v>
      </c>
    </row>
    <row r="39" customFormat="false" ht="15" hidden="false" customHeight="false" outlineLevel="0" collapsed="false">
      <c r="A39" s="10" t="s">
        <v>62</v>
      </c>
      <c r="B39" s="10" t="s">
        <v>63</v>
      </c>
    </row>
    <row r="40" customFormat="false" ht="15" hidden="false" customHeight="false" outlineLevel="0" collapsed="false">
      <c r="A40" s="10" t="s">
        <v>64</v>
      </c>
      <c r="B40" s="10" t="s">
        <v>65</v>
      </c>
    </row>
    <row r="41" customFormat="false" ht="15" hidden="false" customHeight="false" outlineLevel="0" collapsed="false">
      <c r="A41" s="10" t="s">
        <v>66</v>
      </c>
      <c r="B41" s="1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31.5" hidden="false" customHeight="true" outlineLevel="0" collapsed="false">
      <c r="A4" s="9" t="s">
        <v>24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</row>
    <row r="5" customFormat="false" ht="35.05" hidden="false" customHeight="false" outlineLevel="0" collapsed="false">
      <c r="A5" s="10" t="s">
        <v>75</v>
      </c>
      <c r="B5" s="12" t="n">
        <f aca="false">COUNTIFS(Tareas!$A$6:$A$45,"P*",Tareas!$B$6:$B$45,"T1",Tareas!$D$6:$D$45,"?*")</f>
        <v>0</v>
      </c>
      <c r="C5" s="12" t="n">
        <f aca="false">COUNTIFS(Tareas!$A$6:$A$45,"P*",Tareas!$B$6:$B$45,"T1",Tareas!$D$6:$D$45,"Éxito")</f>
        <v>0</v>
      </c>
      <c r="D5" s="13" t="str">
        <f aca="false">IF(B5=0,"",C5/B5)</f>
        <v/>
      </c>
      <c r="E5" s="14" t="str">
        <f aca="false">IF(B5=0,"",IF(D5&gt;=0.8,"Sí","No"))</f>
        <v/>
      </c>
      <c r="F5" s="15" t="str">
        <f aca="false">IFERROR(AVERAGEIFS(Tareas!$E$6:$E$45,Tareas!$A$6:$A$45,"P*",Tareas!$B$6:$B$45,"T1"),"")</f>
        <v/>
      </c>
    </row>
    <row r="6" customFormat="false" ht="35.05" hidden="false" customHeight="false" outlineLevel="0" collapsed="false">
      <c r="A6" s="10" t="s">
        <v>76</v>
      </c>
      <c r="B6" s="12" t="n">
        <f aca="false">COUNTIFS(Tareas!$A$6:$A$45,"P*",Tareas!$B$6:$B$45,"T2",Tareas!$D$6:$D$45,"?*")</f>
        <v>0</v>
      </c>
      <c r="C6" s="12" t="n">
        <f aca="false">COUNTIFS(Tareas!$A$6:$A$45,"P*",Tareas!$B$6:$B$45,"T2",Tareas!$D$6:$D$45,"Éxito")</f>
        <v>0</v>
      </c>
      <c r="D6" s="13" t="str">
        <f aca="false">IF(B6=0,"",C6/B6)</f>
        <v/>
      </c>
      <c r="E6" s="14" t="str">
        <f aca="false">IF(B6=0,"",IF(D6&gt;=0.8,"Sí","No"))</f>
        <v/>
      </c>
      <c r="F6" s="15" t="str">
        <f aca="false">IFERROR(AVERAGEIFS(Tareas!$E$6:$E$45,Tareas!$A$6:$A$45,"P*",Tareas!$B$6:$B$45,"T2"),"")</f>
        <v/>
      </c>
    </row>
    <row r="7" customFormat="false" ht="23.85" hidden="false" customHeight="false" outlineLevel="0" collapsed="false">
      <c r="A7" s="10" t="s">
        <v>77</v>
      </c>
      <c r="B7" s="12" t="n">
        <f aca="false">COUNTIFS(Tareas!$A$6:$A$45,"P*",Tareas!$B$6:$B$45,"T3",Tareas!$D$6:$D$45,"?*")</f>
        <v>0</v>
      </c>
      <c r="C7" s="12" t="n">
        <f aca="false">COUNTIFS(Tareas!$A$6:$A$45,"P*",Tareas!$B$6:$B$45,"T3",Tareas!$D$6:$D$45,"Éxito")</f>
        <v>0</v>
      </c>
      <c r="D7" s="13" t="str">
        <f aca="false">IF(B7=0,"",C7/B7)</f>
        <v/>
      </c>
      <c r="E7" s="14" t="str">
        <f aca="false">IF(B7=0,"",IF(D7&gt;=0.8,"Sí","No"))</f>
        <v/>
      </c>
      <c r="F7" s="15" t="str">
        <f aca="false">IFERROR(AVERAGEIFS(Tareas!$E$6:$E$45,Tareas!$A$6:$A$45,"P*",Tareas!$B$6:$B$45,"T3"),"")</f>
        <v/>
      </c>
    </row>
    <row r="8" customFormat="false" ht="35.05" hidden="false" customHeight="false" outlineLevel="0" collapsed="false">
      <c r="A8" s="10" t="s">
        <v>78</v>
      </c>
      <c r="B8" s="12" t="n">
        <f aca="false">COUNTIFS(Tareas!$A$6:$A$45,"P*",Tareas!$B$6:$B$45,"T4",Tareas!$D$6:$D$45,"?*")</f>
        <v>0</v>
      </c>
      <c r="C8" s="12" t="n">
        <f aca="false">COUNTIFS(Tareas!$A$6:$A$45,"P*",Tareas!$B$6:$B$45,"T4",Tareas!$D$6:$D$45,"Éxito")</f>
        <v>0</v>
      </c>
      <c r="D8" s="13" t="str">
        <f aca="false">IF(B8=0,"",C8/B8)</f>
        <v/>
      </c>
      <c r="E8" s="14" t="str">
        <f aca="false">IF(B8=0,"",IF(D8&gt;=0.8,"Sí","No"))</f>
        <v/>
      </c>
      <c r="F8" s="15" t="str">
        <f aca="false">IFERROR(AVERAGEIFS(Tareas!$E$6:$E$45,Tareas!$A$6:$A$45,"P*",Tareas!$B$6:$B$45,"T4"),"")</f>
        <v/>
      </c>
    </row>
    <row r="9" customFormat="false" ht="23.85" hidden="false" customHeight="false" outlineLevel="0" collapsed="false">
      <c r="A9" s="10" t="s">
        <v>79</v>
      </c>
      <c r="B9" s="12" t="n">
        <f aca="false">COUNTIFS(Tareas!$A$6:$A$45,"P*",Tareas!$B$6:$B$45,"T5",Tareas!$D$6:$D$45,"?*")</f>
        <v>0</v>
      </c>
      <c r="C9" s="12" t="n">
        <f aca="false">COUNTIFS(Tareas!$A$6:$A$45,"P*",Tareas!$B$6:$B$45,"T5",Tareas!$D$6:$D$45,"Éxito")</f>
        <v>0</v>
      </c>
      <c r="D9" s="13" t="str">
        <f aca="false">IF(B9=0,"",C9/B9)</f>
        <v/>
      </c>
      <c r="E9" s="14" t="str">
        <f aca="false">IF(B9=0,"",IF(D9&gt;=0.8,"Sí","No"))</f>
        <v/>
      </c>
      <c r="F9" s="15" t="str">
        <f aca="false">IFERROR(AVERAGEIFS(Tareas!$E$6:$E$45,Tareas!$A$6:$A$45,"P*",Tareas!$B$6:$B$45,"T5"),"")</f>
        <v/>
      </c>
    </row>
    <row r="11" customFormat="false" ht="31.5" hidden="false" customHeight="true" outlineLevel="0" collapsed="false">
      <c r="A11" s="9" t="s">
        <v>80</v>
      </c>
      <c r="B11" s="9" t="s">
        <v>81</v>
      </c>
    </row>
    <row r="12" customFormat="false" ht="15" hidden="false" customHeight="false" outlineLevel="0" collapsed="false">
      <c r="A12" s="10" t="s">
        <v>82</v>
      </c>
      <c r="B12" s="15" t="n">
        <f aca="false">COUNTIFS(Participantes!$A$6:$A$13,"P*",Participantes!$B$6:$B$13,"?*")</f>
        <v>0</v>
      </c>
    </row>
    <row r="13" customFormat="false" ht="15" hidden="false" customHeight="false" outlineLevel="0" collapsed="false">
      <c r="A13" s="10" t="s">
        <v>83</v>
      </c>
      <c r="B13" s="15" t="n">
        <f aca="false">COUNTIFS(Participantes!$A$6:$A$13,"P*",Participantes!$E$6:$E$13,"Sí")</f>
        <v>0</v>
      </c>
    </row>
    <row r="14" customFormat="false" ht="23.85" hidden="false" customHeight="false" outlineLevel="0" collapsed="false">
      <c r="A14" s="10" t="s">
        <v>84</v>
      </c>
      <c r="B14" s="15" t="n">
        <f aca="false">COUNTIFS(Participantes!$A$6:$A$13,"P*",Participantes!$E$6:$E$13,"No")</f>
        <v>0</v>
      </c>
    </row>
    <row r="15" customFormat="false" ht="15" hidden="false" customHeight="false" outlineLevel="0" collapsed="false">
      <c r="A15" s="10" t="s">
        <v>85</v>
      </c>
      <c r="B15" s="15" t="n">
        <f aca="false">COUNTIFS(Participantes!$A$6:$A$13,"P*",Participantes!$J$6:$J$13,"Sí")</f>
        <v>0</v>
      </c>
    </row>
    <row r="16" customFormat="false" ht="15" hidden="false" customHeight="false" outlineLevel="0" collapsed="false">
      <c r="A16" s="10" t="s">
        <v>86</v>
      </c>
      <c r="B16" s="15" t="n">
        <f aca="false">COUNTIFS(SUS!$A$6:$A$13,"P*",SUS!$L$6:$L$13,"&gt;=0")</f>
        <v>0</v>
      </c>
    </row>
    <row r="17" customFormat="false" ht="15" hidden="false" customHeight="false" outlineLevel="0" collapsed="false">
      <c r="A17" s="10" t="s">
        <v>87</v>
      </c>
      <c r="B17" s="16" t="str">
        <f aca="false">IFERROR(AVERAGEIFS(SUS!$L$6:$L$13,SUS!$A$6:$A$13,"P*"),"")</f>
        <v/>
      </c>
    </row>
    <row r="18" customFormat="false" ht="15" hidden="false" customHeight="false" outlineLevel="0" collapsed="false">
      <c r="A18" s="10" t="s">
        <v>88</v>
      </c>
      <c r="B18" s="16" t="str">
        <f aca="false">IF(B16=0,"",_xlfn.MINIFS(SUS!$L$6:$L$13,SUS!$A$6:$A$13,"P*"))</f>
        <v/>
      </c>
    </row>
    <row r="19" customFormat="false" ht="15" hidden="false" customHeight="false" outlineLevel="0" collapsed="false">
      <c r="A19" s="10" t="s">
        <v>89</v>
      </c>
      <c r="B19" s="16" t="str">
        <f aca="false">IF(B16=0,"",_xlfn.MAXIFS(SUS!$L$6:$L$13,SUS!$A$6:$A$13,"P*"))</f>
        <v/>
      </c>
    </row>
    <row r="20" customFormat="false" ht="15" hidden="false" customHeight="false" outlineLevel="0" collapsed="false">
      <c r="A20" s="10" t="s">
        <v>90</v>
      </c>
      <c r="B20" s="12" t="str">
        <f aca="false">IF(B17="","",IF(B17&lt;51,"Problemas serios",IF(B17&lt;68,"Por debajo del promedio (68)",IF(B17&lt;=80,"Aceptable","Excelente"))))</f>
        <v/>
      </c>
    </row>
    <row r="21" customFormat="false" ht="15" hidden="false" customHeight="false" outlineLevel="0" collapsed="false">
      <c r="A21" s="10" t="s">
        <v>91</v>
      </c>
      <c r="B21" s="12" t="str">
        <f aca="false">COUNTIF(E5:E9,"Sí")&amp;" de 5"</f>
        <v>0 de 5</v>
      </c>
    </row>
    <row r="22" customFormat="false" ht="15" hidden="false" customHeight="false" outlineLevel="0" collapsed="false">
      <c r="A22" s="10" t="s">
        <v>92</v>
      </c>
      <c r="B22" s="15" t="n">
        <f aca="false">COUNTIFS(Hallazgos!$A$6:$A$15,"H*",Hallazgos!$B$6:$B$15,"?*")</f>
        <v>0</v>
      </c>
    </row>
    <row r="23" customFormat="false" ht="15" hidden="false" customHeight="false" outlineLevel="0" collapsed="false">
      <c r="A23" s="10" t="s">
        <v>93</v>
      </c>
      <c r="B23" s="15" t="n">
        <f aca="false">COUNTIFS(Hallazgos!$B$6:$B$15,"?*",Hallazgos!$G$6:$G$15,"&gt;=3")</f>
        <v>0</v>
      </c>
    </row>
    <row r="24" customFormat="false" ht="23.85" hidden="false" customHeight="false" outlineLevel="0" collapsed="false">
      <c r="A24" s="10" t="s">
        <v>94</v>
      </c>
      <c r="B24" s="15" t="n">
        <f aca="false">COUNTIFS(Hallazgos!$B$6:$B$15,"?*",Hallazgos!$J$6:$J$15,"?*")</f>
        <v>0</v>
      </c>
    </row>
    <row r="26" customFormat="false" ht="26.85" hidden="false" customHeight="false" outlineLevel="0" collapsed="false">
      <c r="A26" s="17" t="s">
        <v>95</v>
      </c>
      <c r="B26" s="18" t="str">
        <f aca="false">IF(OR(B13&lt;5,B16&lt;5),"Faltan participantes",IF(AND(COUNTIF(E5:E9,"Sí")=5,B17&gt;=68),"Sí","No"))</f>
        <v>Faltan participantes</v>
      </c>
    </row>
    <row r="27" customFormat="false" ht="15" hidden="false" customHeight="false" outlineLevel="0" collapsed="false">
      <c r="A27" s="2" t="s">
        <v>96</v>
      </c>
    </row>
  </sheetData>
  <conditionalFormatting sqref="E5:E9">
    <cfRule type="cellIs" priority="2" operator="equal" aboveAverage="0" equalAverage="0" bottom="0" percent="0" rank="0" text="" dxfId="0">
      <formula>"No"</formula>
    </cfRule>
  </conditionalFormatting>
  <conditionalFormatting sqref="B14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97</v>
      </c>
    </row>
    <row r="4" customFormat="false" ht="31.5" hidden="false" customHeight="true" outlineLevel="0" collapsed="false">
      <c r="A4" s="9" t="s">
        <v>98</v>
      </c>
      <c r="B4" s="9" t="s">
        <v>99</v>
      </c>
      <c r="C4" s="9" t="s">
        <v>100</v>
      </c>
      <c r="D4" s="9" t="s">
        <v>101</v>
      </c>
      <c r="E4" s="9" t="s">
        <v>102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109</v>
      </c>
      <c r="M4" s="9" t="s">
        <v>110</v>
      </c>
    </row>
    <row r="5" customFormat="false" ht="15" hidden="false" customHeight="false" outlineLevel="0" collapsed="false">
      <c r="A5" s="19" t="s">
        <v>111</v>
      </c>
      <c r="B5" s="19" t="s">
        <v>112</v>
      </c>
      <c r="C5" s="19" t="n">
        <v>80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114</v>
      </c>
      <c r="K5" s="19" t="s">
        <v>119</v>
      </c>
      <c r="L5" s="19" t="s">
        <v>120</v>
      </c>
      <c r="M5" s="19" t="s">
        <v>121</v>
      </c>
    </row>
    <row r="6" customFormat="false" ht="15" hidden="false" customHeight="false" outlineLevel="0" collapsed="false">
      <c r="A6" s="20" t="s">
        <v>122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customFormat="false" ht="15" hidden="false" customHeight="false" outlineLevel="0" collapsed="false">
      <c r="A7" s="20" t="s">
        <v>123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customFormat="false" ht="15" hidden="false" customHeight="false" outlineLevel="0" collapsed="false">
      <c r="A8" s="20" t="s">
        <v>124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customFormat="false" ht="15" hidden="false" customHeight="false" outlineLevel="0" collapsed="false">
      <c r="A9" s="20" t="s">
        <v>125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customFormat="false" ht="15" hidden="false" customHeight="false" outlineLevel="0" collapsed="false">
      <c r="A10" s="20" t="s">
        <v>126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customFormat="false" ht="15" hidden="false" customHeight="false" outlineLevel="0" collapsed="false">
      <c r="A11" s="20" t="s">
        <v>127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customFormat="false" ht="15" hidden="false" customHeight="false" outlineLevel="0" collapsed="false">
      <c r="A12" s="20" t="s">
        <v>128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customFormat="false" ht="15" hidden="false" customHeight="false" outlineLevel="0" collapsed="false">
      <c r="A13" s="20" t="s">
        <v>129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</sheetData>
  <conditionalFormatting sqref="E6:E13">
    <cfRule type="cellIs" priority="2" operator="equal" aboveAverage="0" equalAverage="0" bottom="0" percent="0" rank="0" text="" dxfId="0">
      <formula>"No"</formula>
    </cfRule>
  </conditionalFormatting>
  <dataValidations count="3">
    <dataValidation allowBlank="true" errorStyle="stop" operator="between" showDropDown="false" showErrorMessage="false" showInputMessage="false" sqref="E6:E13 J6:J13" type="list">
      <formula1>"Sí,No"</formula1>
      <formula2>0</formula2>
    </dataValidation>
    <dataValidation allowBlank="true" errorStyle="stop" operator="between" showDropDown="false" showErrorMessage="false" showInputMessage="false" sqref="F6:F13" type="list">
      <formula1>"Presencial,Videollamada"</formula1>
      <formula2>0</formula2>
    </dataValidation>
    <dataValidation allowBlank="true" errorStyle="stop" operator="between" showDropDown="false" showErrorMessage="false" showInputMessage="false" sqref="L6:L13" type="list">
      <formula1>"v0.2 (URL fija)"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31.5" hidden="false" customHeight="true" outlineLevel="0" collapsed="false">
      <c r="A4" s="9" t="s">
        <v>132</v>
      </c>
      <c r="B4" s="9" t="s">
        <v>24</v>
      </c>
      <c r="C4" s="9" t="s">
        <v>133</v>
      </c>
      <c r="D4" s="9" t="s">
        <v>134</v>
      </c>
      <c r="E4" s="9" t="s">
        <v>135</v>
      </c>
      <c r="F4" s="9" t="s">
        <v>136</v>
      </c>
      <c r="G4" s="9" t="s">
        <v>137</v>
      </c>
      <c r="H4" s="9" t="s">
        <v>138</v>
      </c>
      <c r="I4" s="9" t="s">
        <v>139</v>
      </c>
    </row>
    <row r="5" customFormat="false" ht="23.85" hidden="false" customHeight="false" outlineLevel="0" collapsed="false">
      <c r="A5" s="19" t="s">
        <v>111</v>
      </c>
      <c r="B5" s="19" t="s">
        <v>32</v>
      </c>
      <c r="C5" s="19" t="s">
        <v>140</v>
      </c>
      <c r="D5" s="19" t="s">
        <v>141</v>
      </c>
      <c r="E5" s="19" t="n">
        <v>75</v>
      </c>
      <c r="F5" s="19" t="n">
        <v>45</v>
      </c>
      <c r="G5" s="19" t="str">
        <f aca="false">IF(AND(ISNUMBER(E5),ISNUMBER(F5)),IF(E5&gt;F5,"Sí","No"),"")</f>
        <v>Sí</v>
      </c>
      <c r="H5" s="19" t="s">
        <v>142</v>
      </c>
      <c r="I5" s="19" t="s">
        <v>143</v>
      </c>
    </row>
    <row r="6" customFormat="false" ht="23.85" hidden="false" customHeight="false" outlineLevel="0" collapsed="false">
      <c r="A6" s="22" t="s">
        <v>122</v>
      </c>
      <c r="B6" s="23" t="s">
        <v>26</v>
      </c>
      <c r="C6" s="23" t="s">
        <v>144</v>
      </c>
      <c r="D6" s="21"/>
      <c r="E6" s="21"/>
      <c r="F6" s="23" t="n">
        <v>120</v>
      </c>
      <c r="G6" s="24" t="str">
        <f aca="false">IF(AND(ISNUMBER(E6),ISNUMBER(F6)),IF(E6&gt;F6,"Sí","No"),"")</f>
        <v/>
      </c>
      <c r="H6" s="21"/>
      <c r="I6" s="21"/>
    </row>
    <row r="7" customFormat="false" ht="23.85" hidden="false" customHeight="false" outlineLevel="0" collapsed="false">
      <c r="A7" s="22" t="s">
        <v>122</v>
      </c>
      <c r="B7" s="23" t="s">
        <v>28</v>
      </c>
      <c r="C7" s="23" t="s">
        <v>145</v>
      </c>
      <c r="D7" s="21"/>
      <c r="E7" s="21"/>
      <c r="F7" s="23" t="n">
        <v>180</v>
      </c>
      <c r="G7" s="24" t="str">
        <f aca="false">IF(AND(ISNUMBER(E7),ISNUMBER(F7)),IF(E7&gt;F7,"Sí","No"),"")</f>
        <v/>
      </c>
      <c r="H7" s="21"/>
      <c r="I7" s="21"/>
    </row>
    <row r="8" customFormat="false" ht="23.85" hidden="false" customHeight="false" outlineLevel="0" collapsed="false">
      <c r="A8" s="22" t="s">
        <v>122</v>
      </c>
      <c r="B8" s="23" t="s">
        <v>30</v>
      </c>
      <c r="C8" s="23" t="s">
        <v>146</v>
      </c>
      <c r="D8" s="21"/>
      <c r="E8" s="21"/>
      <c r="F8" s="23" t="n">
        <v>60</v>
      </c>
      <c r="G8" s="24" t="str">
        <f aca="false">IF(AND(ISNUMBER(E8),ISNUMBER(F8)),IF(E8&gt;F8,"Sí","No"),"")</f>
        <v/>
      </c>
      <c r="H8" s="21"/>
      <c r="I8" s="21"/>
    </row>
    <row r="9" customFormat="false" ht="23.85" hidden="false" customHeight="false" outlineLevel="0" collapsed="false">
      <c r="A9" s="22" t="s">
        <v>122</v>
      </c>
      <c r="B9" s="23" t="s">
        <v>32</v>
      </c>
      <c r="C9" s="23" t="s">
        <v>140</v>
      </c>
      <c r="D9" s="21"/>
      <c r="E9" s="21"/>
      <c r="F9" s="23" t="n">
        <v>45</v>
      </c>
      <c r="G9" s="24" t="str">
        <f aca="false">IF(AND(ISNUMBER(E9),ISNUMBER(F9)),IF(E9&gt;F9,"Sí","No"),"")</f>
        <v/>
      </c>
      <c r="H9" s="21"/>
      <c r="I9" s="21"/>
    </row>
    <row r="10" customFormat="false" ht="23.85" hidden="false" customHeight="false" outlineLevel="0" collapsed="false">
      <c r="A10" s="22" t="s">
        <v>122</v>
      </c>
      <c r="B10" s="23" t="s">
        <v>34</v>
      </c>
      <c r="C10" s="23" t="s">
        <v>147</v>
      </c>
      <c r="D10" s="21"/>
      <c r="E10" s="21"/>
      <c r="F10" s="23"/>
      <c r="G10" s="24" t="str">
        <f aca="false">IF(AND(ISNUMBER(E10),ISNUMBER(F10)),IF(E10&gt;F10,"Sí","No"),"")</f>
        <v/>
      </c>
      <c r="H10" s="21"/>
      <c r="I10" s="21"/>
    </row>
    <row r="11" customFormat="false" ht="23.85" hidden="false" customHeight="false" outlineLevel="0" collapsed="false">
      <c r="A11" s="22" t="s">
        <v>123</v>
      </c>
      <c r="B11" s="23" t="s">
        <v>26</v>
      </c>
      <c r="C11" s="23" t="s">
        <v>144</v>
      </c>
      <c r="D11" s="21"/>
      <c r="E11" s="21"/>
      <c r="F11" s="23" t="n">
        <v>120</v>
      </c>
      <c r="G11" s="24" t="str">
        <f aca="false">IF(AND(ISNUMBER(E11),ISNUMBER(F11)),IF(E11&gt;F11,"Sí","No"),"")</f>
        <v/>
      </c>
      <c r="H11" s="21"/>
      <c r="I11" s="21"/>
    </row>
    <row r="12" customFormat="false" ht="23.85" hidden="false" customHeight="false" outlineLevel="0" collapsed="false">
      <c r="A12" s="22" t="s">
        <v>123</v>
      </c>
      <c r="B12" s="23" t="s">
        <v>28</v>
      </c>
      <c r="C12" s="23" t="s">
        <v>145</v>
      </c>
      <c r="D12" s="21"/>
      <c r="E12" s="21"/>
      <c r="F12" s="23" t="n">
        <v>180</v>
      </c>
      <c r="G12" s="24" t="str">
        <f aca="false">IF(AND(ISNUMBER(E12),ISNUMBER(F12)),IF(E12&gt;F12,"Sí","No"),"")</f>
        <v/>
      </c>
      <c r="H12" s="21"/>
      <c r="I12" s="21"/>
    </row>
    <row r="13" customFormat="false" ht="23.85" hidden="false" customHeight="false" outlineLevel="0" collapsed="false">
      <c r="A13" s="22" t="s">
        <v>123</v>
      </c>
      <c r="B13" s="23" t="s">
        <v>30</v>
      </c>
      <c r="C13" s="23" t="s">
        <v>146</v>
      </c>
      <c r="D13" s="21"/>
      <c r="E13" s="21"/>
      <c r="F13" s="23" t="n">
        <v>60</v>
      </c>
      <c r="G13" s="24" t="str">
        <f aca="false">IF(AND(ISNUMBER(E13),ISNUMBER(F13)),IF(E13&gt;F13,"Sí","No"),"")</f>
        <v/>
      </c>
      <c r="H13" s="21"/>
      <c r="I13" s="21"/>
    </row>
    <row r="14" customFormat="false" ht="23.85" hidden="false" customHeight="false" outlineLevel="0" collapsed="false">
      <c r="A14" s="22" t="s">
        <v>123</v>
      </c>
      <c r="B14" s="23" t="s">
        <v>32</v>
      </c>
      <c r="C14" s="23" t="s">
        <v>140</v>
      </c>
      <c r="D14" s="21"/>
      <c r="E14" s="21"/>
      <c r="F14" s="23" t="n">
        <v>45</v>
      </c>
      <c r="G14" s="24" t="str">
        <f aca="false">IF(AND(ISNUMBER(E14),ISNUMBER(F14)),IF(E14&gt;F14,"Sí","No"),"")</f>
        <v/>
      </c>
      <c r="H14" s="21"/>
      <c r="I14" s="21"/>
    </row>
    <row r="15" customFormat="false" ht="23.85" hidden="false" customHeight="false" outlineLevel="0" collapsed="false">
      <c r="A15" s="22" t="s">
        <v>123</v>
      </c>
      <c r="B15" s="23" t="s">
        <v>34</v>
      </c>
      <c r="C15" s="23" t="s">
        <v>147</v>
      </c>
      <c r="D15" s="21"/>
      <c r="E15" s="21"/>
      <c r="F15" s="23"/>
      <c r="G15" s="24" t="str">
        <f aca="false">IF(AND(ISNUMBER(E15),ISNUMBER(F15)),IF(E15&gt;F15,"Sí","No"),"")</f>
        <v/>
      </c>
      <c r="H15" s="21"/>
      <c r="I15" s="21"/>
    </row>
    <row r="16" customFormat="false" ht="23.85" hidden="false" customHeight="false" outlineLevel="0" collapsed="false">
      <c r="A16" s="22" t="s">
        <v>124</v>
      </c>
      <c r="B16" s="23" t="s">
        <v>26</v>
      </c>
      <c r="C16" s="23" t="s">
        <v>144</v>
      </c>
      <c r="D16" s="21"/>
      <c r="E16" s="21"/>
      <c r="F16" s="23" t="n">
        <v>120</v>
      </c>
      <c r="G16" s="24" t="str">
        <f aca="false">IF(AND(ISNUMBER(E16),ISNUMBER(F16)),IF(E16&gt;F16,"Sí","No"),"")</f>
        <v/>
      </c>
      <c r="H16" s="21"/>
      <c r="I16" s="21"/>
    </row>
    <row r="17" customFormat="false" ht="23.85" hidden="false" customHeight="false" outlineLevel="0" collapsed="false">
      <c r="A17" s="22" t="s">
        <v>124</v>
      </c>
      <c r="B17" s="23" t="s">
        <v>28</v>
      </c>
      <c r="C17" s="23" t="s">
        <v>145</v>
      </c>
      <c r="D17" s="21"/>
      <c r="E17" s="21"/>
      <c r="F17" s="23" t="n">
        <v>180</v>
      </c>
      <c r="G17" s="24" t="str">
        <f aca="false">IF(AND(ISNUMBER(E17),ISNUMBER(F17)),IF(E17&gt;F17,"Sí","No"),"")</f>
        <v/>
      </c>
      <c r="H17" s="21"/>
      <c r="I17" s="21"/>
    </row>
    <row r="18" customFormat="false" ht="23.85" hidden="false" customHeight="false" outlineLevel="0" collapsed="false">
      <c r="A18" s="22" t="s">
        <v>124</v>
      </c>
      <c r="B18" s="23" t="s">
        <v>30</v>
      </c>
      <c r="C18" s="23" t="s">
        <v>146</v>
      </c>
      <c r="D18" s="21"/>
      <c r="E18" s="21"/>
      <c r="F18" s="23" t="n">
        <v>60</v>
      </c>
      <c r="G18" s="24" t="str">
        <f aca="false">IF(AND(ISNUMBER(E18),ISNUMBER(F18)),IF(E18&gt;F18,"Sí","No"),"")</f>
        <v/>
      </c>
      <c r="H18" s="21"/>
      <c r="I18" s="21"/>
    </row>
    <row r="19" customFormat="false" ht="23.85" hidden="false" customHeight="false" outlineLevel="0" collapsed="false">
      <c r="A19" s="22" t="s">
        <v>124</v>
      </c>
      <c r="B19" s="23" t="s">
        <v>32</v>
      </c>
      <c r="C19" s="23" t="s">
        <v>140</v>
      </c>
      <c r="D19" s="21"/>
      <c r="E19" s="21"/>
      <c r="F19" s="23" t="n">
        <v>45</v>
      </c>
      <c r="G19" s="24" t="str">
        <f aca="false">IF(AND(ISNUMBER(E19),ISNUMBER(F19)),IF(E19&gt;F19,"Sí","No"),"")</f>
        <v/>
      </c>
      <c r="H19" s="21"/>
      <c r="I19" s="21"/>
    </row>
    <row r="20" customFormat="false" ht="23.85" hidden="false" customHeight="false" outlineLevel="0" collapsed="false">
      <c r="A20" s="22" t="s">
        <v>124</v>
      </c>
      <c r="B20" s="23" t="s">
        <v>34</v>
      </c>
      <c r="C20" s="23" t="s">
        <v>147</v>
      </c>
      <c r="D20" s="21"/>
      <c r="E20" s="21"/>
      <c r="F20" s="23"/>
      <c r="G20" s="24" t="str">
        <f aca="false">IF(AND(ISNUMBER(E20),ISNUMBER(F20)),IF(E20&gt;F20,"Sí","No"),"")</f>
        <v/>
      </c>
      <c r="H20" s="21"/>
      <c r="I20" s="21"/>
    </row>
    <row r="21" customFormat="false" ht="23.85" hidden="false" customHeight="false" outlineLevel="0" collapsed="false">
      <c r="A21" s="22" t="s">
        <v>125</v>
      </c>
      <c r="B21" s="23" t="s">
        <v>26</v>
      </c>
      <c r="C21" s="23" t="s">
        <v>144</v>
      </c>
      <c r="D21" s="21"/>
      <c r="E21" s="21"/>
      <c r="F21" s="23" t="n">
        <v>120</v>
      </c>
      <c r="G21" s="24" t="str">
        <f aca="false">IF(AND(ISNUMBER(E21),ISNUMBER(F21)),IF(E21&gt;F21,"Sí","No"),"")</f>
        <v/>
      </c>
      <c r="H21" s="21"/>
      <c r="I21" s="21"/>
    </row>
    <row r="22" customFormat="false" ht="23.85" hidden="false" customHeight="false" outlineLevel="0" collapsed="false">
      <c r="A22" s="22" t="s">
        <v>125</v>
      </c>
      <c r="B22" s="23" t="s">
        <v>28</v>
      </c>
      <c r="C22" s="23" t="s">
        <v>145</v>
      </c>
      <c r="D22" s="21"/>
      <c r="E22" s="21"/>
      <c r="F22" s="23" t="n">
        <v>180</v>
      </c>
      <c r="G22" s="24" t="str">
        <f aca="false">IF(AND(ISNUMBER(E22),ISNUMBER(F22)),IF(E22&gt;F22,"Sí","No"),"")</f>
        <v/>
      </c>
      <c r="H22" s="21"/>
      <c r="I22" s="21"/>
    </row>
    <row r="23" customFormat="false" ht="23.85" hidden="false" customHeight="false" outlineLevel="0" collapsed="false">
      <c r="A23" s="22" t="s">
        <v>125</v>
      </c>
      <c r="B23" s="23" t="s">
        <v>30</v>
      </c>
      <c r="C23" s="23" t="s">
        <v>146</v>
      </c>
      <c r="D23" s="21"/>
      <c r="E23" s="21"/>
      <c r="F23" s="23" t="n">
        <v>60</v>
      </c>
      <c r="G23" s="24" t="str">
        <f aca="false">IF(AND(ISNUMBER(E23),ISNUMBER(F23)),IF(E23&gt;F23,"Sí","No"),"")</f>
        <v/>
      </c>
      <c r="H23" s="21"/>
      <c r="I23" s="21"/>
    </row>
    <row r="24" customFormat="false" ht="23.85" hidden="false" customHeight="false" outlineLevel="0" collapsed="false">
      <c r="A24" s="22" t="s">
        <v>125</v>
      </c>
      <c r="B24" s="23" t="s">
        <v>32</v>
      </c>
      <c r="C24" s="23" t="s">
        <v>140</v>
      </c>
      <c r="D24" s="21"/>
      <c r="E24" s="21"/>
      <c r="F24" s="23" t="n">
        <v>45</v>
      </c>
      <c r="G24" s="24" t="str">
        <f aca="false">IF(AND(ISNUMBER(E24),ISNUMBER(F24)),IF(E24&gt;F24,"Sí","No"),"")</f>
        <v/>
      </c>
      <c r="H24" s="21"/>
      <c r="I24" s="21"/>
    </row>
    <row r="25" customFormat="false" ht="23.85" hidden="false" customHeight="false" outlineLevel="0" collapsed="false">
      <c r="A25" s="22" t="s">
        <v>125</v>
      </c>
      <c r="B25" s="23" t="s">
        <v>34</v>
      </c>
      <c r="C25" s="23" t="s">
        <v>147</v>
      </c>
      <c r="D25" s="21"/>
      <c r="E25" s="21"/>
      <c r="F25" s="23"/>
      <c r="G25" s="24" t="str">
        <f aca="false">IF(AND(ISNUMBER(E25),ISNUMBER(F25)),IF(E25&gt;F25,"Sí","No"),"")</f>
        <v/>
      </c>
      <c r="H25" s="21"/>
      <c r="I25" s="21"/>
    </row>
    <row r="26" customFormat="false" ht="23.85" hidden="false" customHeight="false" outlineLevel="0" collapsed="false">
      <c r="A26" s="22" t="s">
        <v>126</v>
      </c>
      <c r="B26" s="23" t="s">
        <v>26</v>
      </c>
      <c r="C26" s="23" t="s">
        <v>144</v>
      </c>
      <c r="D26" s="21"/>
      <c r="E26" s="21"/>
      <c r="F26" s="23" t="n">
        <v>120</v>
      </c>
      <c r="G26" s="24" t="str">
        <f aca="false">IF(AND(ISNUMBER(E26),ISNUMBER(F26)),IF(E26&gt;F26,"Sí","No"),"")</f>
        <v/>
      </c>
      <c r="H26" s="21"/>
      <c r="I26" s="21"/>
    </row>
    <row r="27" customFormat="false" ht="23.85" hidden="false" customHeight="false" outlineLevel="0" collapsed="false">
      <c r="A27" s="22" t="s">
        <v>126</v>
      </c>
      <c r="B27" s="23" t="s">
        <v>28</v>
      </c>
      <c r="C27" s="23" t="s">
        <v>145</v>
      </c>
      <c r="D27" s="21"/>
      <c r="E27" s="21"/>
      <c r="F27" s="23" t="n">
        <v>180</v>
      </c>
      <c r="G27" s="24" t="str">
        <f aca="false">IF(AND(ISNUMBER(E27),ISNUMBER(F27)),IF(E27&gt;F27,"Sí","No"),"")</f>
        <v/>
      </c>
      <c r="H27" s="21"/>
      <c r="I27" s="21"/>
    </row>
    <row r="28" customFormat="false" ht="23.85" hidden="false" customHeight="false" outlineLevel="0" collapsed="false">
      <c r="A28" s="22" t="s">
        <v>126</v>
      </c>
      <c r="B28" s="23" t="s">
        <v>30</v>
      </c>
      <c r="C28" s="23" t="s">
        <v>146</v>
      </c>
      <c r="D28" s="21"/>
      <c r="E28" s="21"/>
      <c r="F28" s="23" t="n">
        <v>60</v>
      </c>
      <c r="G28" s="24" t="str">
        <f aca="false">IF(AND(ISNUMBER(E28),ISNUMBER(F28)),IF(E28&gt;F28,"Sí","No"),"")</f>
        <v/>
      </c>
      <c r="H28" s="21"/>
      <c r="I28" s="21"/>
    </row>
    <row r="29" customFormat="false" ht="23.85" hidden="false" customHeight="false" outlineLevel="0" collapsed="false">
      <c r="A29" s="22" t="s">
        <v>126</v>
      </c>
      <c r="B29" s="23" t="s">
        <v>32</v>
      </c>
      <c r="C29" s="23" t="s">
        <v>140</v>
      </c>
      <c r="D29" s="21"/>
      <c r="E29" s="21"/>
      <c r="F29" s="23" t="n">
        <v>45</v>
      </c>
      <c r="G29" s="24" t="str">
        <f aca="false">IF(AND(ISNUMBER(E29),ISNUMBER(F29)),IF(E29&gt;F29,"Sí","No"),"")</f>
        <v/>
      </c>
      <c r="H29" s="21"/>
      <c r="I29" s="21"/>
    </row>
    <row r="30" customFormat="false" ht="23.85" hidden="false" customHeight="false" outlineLevel="0" collapsed="false">
      <c r="A30" s="22" t="s">
        <v>126</v>
      </c>
      <c r="B30" s="23" t="s">
        <v>34</v>
      </c>
      <c r="C30" s="23" t="s">
        <v>147</v>
      </c>
      <c r="D30" s="21"/>
      <c r="E30" s="21"/>
      <c r="F30" s="23"/>
      <c r="G30" s="24" t="str">
        <f aca="false">IF(AND(ISNUMBER(E30),ISNUMBER(F30)),IF(E30&gt;F30,"Sí","No"),"")</f>
        <v/>
      </c>
      <c r="H30" s="21"/>
      <c r="I30" s="21"/>
    </row>
    <row r="31" customFormat="false" ht="23.85" hidden="false" customHeight="false" outlineLevel="0" collapsed="false">
      <c r="A31" s="22" t="s">
        <v>127</v>
      </c>
      <c r="B31" s="23" t="s">
        <v>26</v>
      </c>
      <c r="C31" s="23" t="s">
        <v>144</v>
      </c>
      <c r="D31" s="21"/>
      <c r="E31" s="21"/>
      <c r="F31" s="23" t="n">
        <v>120</v>
      </c>
      <c r="G31" s="24" t="str">
        <f aca="false">IF(AND(ISNUMBER(E31),ISNUMBER(F31)),IF(E31&gt;F31,"Sí","No"),"")</f>
        <v/>
      </c>
      <c r="H31" s="21"/>
      <c r="I31" s="21"/>
    </row>
    <row r="32" customFormat="false" ht="23.85" hidden="false" customHeight="false" outlineLevel="0" collapsed="false">
      <c r="A32" s="22" t="s">
        <v>127</v>
      </c>
      <c r="B32" s="23" t="s">
        <v>28</v>
      </c>
      <c r="C32" s="23" t="s">
        <v>145</v>
      </c>
      <c r="D32" s="21"/>
      <c r="E32" s="21"/>
      <c r="F32" s="23" t="n">
        <v>180</v>
      </c>
      <c r="G32" s="24" t="str">
        <f aca="false">IF(AND(ISNUMBER(E32),ISNUMBER(F32)),IF(E32&gt;F32,"Sí","No"),"")</f>
        <v/>
      </c>
      <c r="H32" s="21"/>
      <c r="I32" s="21"/>
    </row>
    <row r="33" customFormat="false" ht="23.85" hidden="false" customHeight="false" outlineLevel="0" collapsed="false">
      <c r="A33" s="22" t="s">
        <v>127</v>
      </c>
      <c r="B33" s="23" t="s">
        <v>30</v>
      </c>
      <c r="C33" s="23" t="s">
        <v>146</v>
      </c>
      <c r="D33" s="21"/>
      <c r="E33" s="21"/>
      <c r="F33" s="23" t="n">
        <v>60</v>
      </c>
      <c r="G33" s="24" t="str">
        <f aca="false">IF(AND(ISNUMBER(E33),ISNUMBER(F33)),IF(E33&gt;F33,"Sí","No"),"")</f>
        <v/>
      </c>
      <c r="H33" s="21"/>
      <c r="I33" s="21"/>
    </row>
    <row r="34" customFormat="false" ht="23.85" hidden="false" customHeight="false" outlineLevel="0" collapsed="false">
      <c r="A34" s="22" t="s">
        <v>127</v>
      </c>
      <c r="B34" s="23" t="s">
        <v>32</v>
      </c>
      <c r="C34" s="23" t="s">
        <v>140</v>
      </c>
      <c r="D34" s="21"/>
      <c r="E34" s="21"/>
      <c r="F34" s="23" t="n">
        <v>45</v>
      </c>
      <c r="G34" s="24" t="str">
        <f aca="false">IF(AND(ISNUMBER(E34),ISNUMBER(F34)),IF(E34&gt;F34,"Sí","No"),"")</f>
        <v/>
      </c>
      <c r="H34" s="21"/>
      <c r="I34" s="21"/>
    </row>
    <row r="35" customFormat="false" ht="23.85" hidden="false" customHeight="false" outlineLevel="0" collapsed="false">
      <c r="A35" s="22" t="s">
        <v>127</v>
      </c>
      <c r="B35" s="23" t="s">
        <v>34</v>
      </c>
      <c r="C35" s="23" t="s">
        <v>147</v>
      </c>
      <c r="D35" s="21"/>
      <c r="E35" s="21"/>
      <c r="F35" s="23"/>
      <c r="G35" s="24" t="str">
        <f aca="false">IF(AND(ISNUMBER(E35),ISNUMBER(F35)),IF(E35&gt;F35,"Sí","No"),"")</f>
        <v/>
      </c>
      <c r="H35" s="21"/>
      <c r="I35" s="21"/>
    </row>
    <row r="36" customFormat="false" ht="23.85" hidden="false" customHeight="false" outlineLevel="0" collapsed="false">
      <c r="A36" s="22" t="s">
        <v>128</v>
      </c>
      <c r="B36" s="23" t="s">
        <v>26</v>
      </c>
      <c r="C36" s="23" t="s">
        <v>144</v>
      </c>
      <c r="D36" s="21"/>
      <c r="E36" s="21"/>
      <c r="F36" s="23" t="n">
        <v>120</v>
      </c>
      <c r="G36" s="24" t="str">
        <f aca="false">IF(AND(ISNUMBER(E36),ISNUMBER(F36)),IF(E36&gt;F36,"Sí","No"),"")</f>
        <v/>
      </c>
      <c r="H36" s="21"/>
      <c r="I36" s="21"/>
    </row>
    <row r="37" customFormat="false" ht="23.85" hidden="false" customHeight="false" outlineLevel="0" collapsed="false">
      <c r="A37" s="22" t="s">
        <v>128</v>
      </c>
      <c r="B37" s="23" t="s">
        <v>28</v>
      </c>
      <c r="C37" s="23" t="s">
        <v>145</v>
      </c>
      <c r="D37" s="21"/>
      <c r="E37" s="21"/>
      <c r="F37" s="23" t="n">
        <v>180</v>
      </c>
      <c r="G37" s="24" t="str">
        <f aca="false">IF(AND(ISNUMBER(E37),ISNUMBER(F37)),IF(E37&gt;F37,"Sí","No"),"")</f>
        <v/>
      </c>
      <c r="H37" s="21"/>
      <c r="I37" s="21"/>
    </row>
    <row r="38" customFormat="false" ht="23.85" hidden="false" customHeight="false" outlineLevel="0" collapsed="false">
      <c r="A38" s="22" t="s">
        <v>128</v>
      </c>
      <c r="B38" s="23" t="s">
        <v>30</v>
      </c>
      <c r="C38" s="23" t="s">
        <v>146</v>
      </c>
      <c r="D38" s="21"/>
      <c r="E38" s="21"/>
      <c r="F38" s="23" t="n">
        <v>60</v>
      </c>
      <c r="G38" s="24" t="str">
        <f aca="false">IF(AND(ISNUMBER(E38),ISNUMBER(F38)),IF(E38&gt;F38,"Sí","No"),"")</f>
        <v/>
      </c>
      <c r="H38" s="21"/>
      <c r="I38" s="21"/>
    </row>
    <row r="39" customFormat="false" ht="23.85" hidden="false" customHeight="false" outlineLevel="0" collapsed="false">
      <c r="A39" s="22" t="s">
        <v>128</v>
      </c>
      <c r="B39" s="23" t="s">
        <v>32</v>
      </c>
      <c r="C39" s="23" t="s">
        <v>140</v>
      </c>
      <c r="D39" s="21"/>
      <c r="E39" s="21"/>
      <c r="F39" s="23" t="n">
        <v>45</v>
      </c>
      <c r="G39" s="24" t="str">
        <f aca="false">IF(AND(ISNUMBER(E39),ISNUMBER(F39)),IF(E39&gt;F39,"Sí","No"),"")</f>
        <v/>
      </c>
      <c r="H39" s="21"/>
      <c r="I39" s="21"/>
    </row>
    <row r="40" customFormat="false" ht="23.85" hidden="false" customHeight="false" outlineLevel="0" collapsed="false">
      <c r="A40" s="22" t="s">
        <v>128</v>
      </c>
      <c r="B40" s="23" t="s">
        <v>34</v>
      </c>
      <c r="C40" s="23" t="s">
        <v>147</v>
      </c>
      <c r="D40" s="21"/>
      <c r="E40" s="21"/>
      <c r="F40" s="23"/>
      <c r="G40" s="24" t="str">
        <f aca="false">IF(AND(ISNUMBER(E40),ISNUMBER(F40)),IF(E40&gt;F40,"Sí","No"),"")</f>
        <v/>
      </c>
      <c r="H40" s="21"/>
      <c r="I40" s="21"/>
    </row>
    <row r="41" customFormat="false" ht="23.85" hidden="false" customHeight="false" outlineLevel="0" collapsed="false">
      <c r="A41" s="22" t="s">
        <v>129</v>
      </c>
      <c r="B41" s="23" t="s">
        <v>26</v>
      </c>
      <c r="C41" s="23" t="s">
        <v>144</v>
      </c>
      <c r="D41" s="21"/>
      <c r="E41" s="21"/>
      <c r="F41" s="23" t="n">
        <v>120</v>
      </c>
      <c r="G41" s="24" t="str">
        <f aca="false">IF(AND(ISNUMBER(E41),ISNUMBER(F41)),IF(E41&gt;F41,"Sí","No"),"")</f>
        <v/>
      </c>
      <c r="H41" s="21"/>
      <c r="I41" s="21"/>
    </row>
    <row r="42" customFormat="false" ht="23.85" hidden="false" customHeight="false" outlineLevel="0" collapsed="false">
      <c r="A42" s="22" t="s">
        <v>129</v>
      </c>
      <c r="B42" s="23" t="s">
        <v>28</v>
      </c>
      <c r="C42" s="23" t="s">
        <v>145</v>
      </c>
      <c r="D42" s="21"/>
      <c r="E42" s="21"/>
      <c r="F42" s="23" t="n">
        <v>180</v>
      </c>
      <c r="G42" s="24" t="str">
        <f aca="false">IF(AND(ISNUMBER(E42),ISNUMBER(F42)),IF(E42&gt;F42,"Sí","No"),"")</f>
        <v/>
      </c>
      <c r="H42" s="21"/>
      <c r="I42" s="21"/>
    </row>
    <row r="43" customFormat="false" ht="23.85" hidden="false" customHeight="false" outlineLevel="0" collapsed="false">
      <c r="A43" s="22" t="s">
        <v>129</v>
      </c>
      <c r="B43" s="23" t="s">
        <v>30</v>
      </c>
      <c r="C43" s="23" t="s">
        <v>146</v>
      </c>
      <c r="D43" s="21"/>
      <c r="E43" s="21"/>
      <c r="F43" s="23" t="n">
        <v>60</v>
      </c>
      <c r="G43" s="24" t="str">
        <f aca="false">IF(AND(ISNUMBER(E43),ISNUMBER(F43)),IF(E43&gt;F43,"Sí","No"),"")</f>
        <v/>
      </c>
      <c r="H43" s="21"/>
      <c r="I43" s="21"/>
    </row>
    <row r="44" customFormat="false" ht="23.85" hidden="false" customHeight="false" outlineLevel="0" collapsed="false">
      <c r="A44" s="22" t="s">
        <v>129</v>
      </c>
      <c r="B44" s="23" t="s">
        <v>32</v>
      </c>
      <c r="C44" s="23" t="s">
        <v>140</v>
      </c>
      <c r="D44" s="21"/>
      <c r="E44" s="21"/>
      <c r="F44" s="23" t="n">
        <v>45</v>
      </c>
      <c r="G44" s="24" t="str">
        <f aca="false">IF(AND(ISNUMBER(E44),ISNUMBER(F44)),IF(E44&gt;F44,"Sí","No"),"")</f>
        <v/>
      </c>
      <c r="H44" s="21"/>
      <c r="I44" s="21"/>
    </row>
    <row r="45" customFormat="false" ht="23.85" hidden="false" customHeight="false" outlineLevel="0" collapsed="false">
      <c r="A45" s="22" t="s">
        <v>129</v>
      </c>
      <c r="B45" s="23" t="s">
        <v>34</v>
      </c>
      <c r="C45" s="23" t="s">
        <v>147</v>
      </c>
      <c r="D45" s="21"/>
      <c r="E45" s="21"/>
      <c r="F45" s="23"/>
      <c r="G45" s="24" t="str">
        <f aca="false">IF(AND(ISNUMBER(E45),ISNUMBER(F45)),IF(E45&gt;F45,"Sí","No"),"")</f>
        <v/>
      </c>
      <c r="H45" s="21"/>
      <c r="I45" s="21"/>
    </row>
  </sheetData>
  <autoFilter ref="A4:I45"/>
  <conditionalFormatting sqref="D6:D45">
    <cfRule type="cellIs" priority="2" operator="equal" aboveAverage="0" equalAverage="0" bottom="0" percent="0" rank="0" text="" dxfId="0">
      <formula>"Fracaso"</formula>
    </cfRule>
    <cfRule type="cellIs" priority="3" operator="equal" aboveAverage="0" equalAverage="0" bottom="0" percent="0" rank="0" text="" dxfId="9">
      <formula>"Éxito"</formula>
    </cfRule>
  </conditionalFormatting>
  <conditionalFormatting sqref="G6:G45">
    <cfRule type="cellIs" priority="4" operator="equal" aboveAverage="0" equalAverage="0" bottom="0" percent="0" rank="0" text="" dxfId="0">
      <formula>"Sí"</formula>
    </cfRule>
  </conditionalFormatting>
  <dataValidations count="2">
    <dataValidation allowBlank="true" errorStyle="stop" operator="between" showDropDown="false" showErrorMessage="false" showInputMessage="false" sqref="D6:D45" type="list">
      <formula1>"Éxito,Fracaso"</formula1>
      <formula2>0</formula2>
    </dataValidation>
    <dataValidation allowBlank="true" errorStyle="stop" operator="greaterThanOrEqual" showDropDown="false" showErrorMessage="false" showInputMessage="false" sqref="E6:E4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6"/>
    <col collapsed="false" customWidth="true" hidden="false" outlineLevel="0" max="12" min="12" style="0" width="11"/>
    <col collapsed="false" customWidth="true" hidden="false" outlineLevel="0" max="14" min="13" style="0" width="38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31.5" hidden="false" customHeight="true" outlineLevel="0" collapsed="false">
      <c r="A4" s="9" t="s">
        <v>132</v>
      </c>
      <c r="B4" s="9" t="s">
        <v>150</v>
      </c>
      <c r="C4" s="9" t="s">
        <v>151</v>
      </c>
      <c r="D4" s="9" t="s">
        <v>152</v>
      </c>
      <c r="E4" s="9" t="s">
        <v>153</v>
      </c>
      <c r="F4" s="9" t="s">
        <v>154</v>
      </c>
      <c r="G4" s="9" t="s">
        <v>155</v>
      </c>
      <c r="H4" s="9" t="s">
        <v>156</v>
      </c>
      <c r="I4" s="9" t="s">
        <v>157</v>
      </c>
      <c r="J4" s="9" t="s">
        <v>158</v>
      </c>
      <c r="K4" s="9" t="s">
        <v>159</v>
      </c>
      <c r="L4" s="9" t="s">
        <v>160</v>
      </c>
      <c r="M4" s="9" t="s">
        <v>161</v>
      </c>
      <c r="N4" s="9" t="s">
        <v>162</v>
      </c>
    </row>
    <row r="5" customFormat="false" ht="15" hidden="false" customHeight="false" outlineLevel="0" collapsed="false">
      <c r="A5" s="25" t="s">
        <v>111</v>
      </c>
      <c r="B5" s="25" t="n">
        <v>4</v>
      </c>
      <c r="C5" s="25" t="n">
        <v>2</v>
      </c>
      <c r="D5" s="25" t="n">
        <v>4</v>
      </c>
      <c r="E5" s="25" t="n">
        <v>1</v>
      </c>
      <c r="F5" s="25" t="n">
        <v>4</v>
      </c>
      <c r="G5" s="25" t="n">
        <v>2</v>
      </c>
      <c r="H5" s="25" t="n">
        <v>5</v>
      </c>
      <c r="I5" s="25" t="n">
        <v>2</v>
      </c>
      <c r="J5" s="25" t="n">
        <v>4</v>
      </c>
      <c r="K5" s="25" t="n">
        <v>1</v>
      </c>
      <c r="L5" s="26" t="n">
        <f aca="false">IF(COUNT(B5:K5)=10,((B5+D5+F5+H5+J5)-5+(25-(C5+E5+G5+I5+K5)))*2.5,"")</f>
        <v>82.5</v>
      </c>
      <c r="M5" s="19" t="s">
        <v>163</v>
      </c>
      <c r="N5" s="19" t="s">
        <v>164</v>
      </c>
    </row>
    <row r="6" customFormat="false" ht="15" hidden="false" customHeight="false" outlineLevel="0" collapsed="false">
      <c r="A6" s="27" t="s">
        <v>122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9" t="str">
        <f aca="false">IF(COUNT(B6:K6)=10,((B6+D6+F6+H6+J6)-5+(25-(C6+E6+G6+I6+K6)))*2.5,"")</f>
        <v/>
      </c>
      <c r="M6" s="21"/>
      <c r="N6" s="21"/>
    </row>
    <row r="7" customFormat="false" ht="15" hidden="false" customHeight="false" outlineLevel="0" collapsed="false">
      <c r="A7" s="27" t="s">
        <v>123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9" t="str">
        <f aca="false">IF(COUNT(B7:K7)=10,((B7+D7+F7+H7+J7)-5+(25-(C7+E7+G7+I7+K7)))*2.5,"")</f>
        <v/>
      </c>
      <c r="M7" s="21"/>
      <c r="N7" s="21"/>
    </row>
    <row r="8" customFormat="false" ht="15" hidden="false" customHeight="false" outlineLevel="0" collapsed="false">
      <c r="A8" s="27" t="s">
        <v>124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9" t="str">
        <f aca="false">IF(COUNT(B8:K8)=10,((B8+D8+F8+H8+J8)-5+(25-(C8+E8+G8+I8+K8)))*2.5,"")</f>
        <v/>
      </c>
      <c r="M8" s="21"/>
      <c r="N8" s="21"/>
    </row>
    <row r="9" customFormat="false" ht="15" hidden="false" customHeight="false" outlineLevel="0" collapsed="false">
      <c r="A9" s="27" t="s">
        <v>125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 t="str">
        <f aca="false">IF(COUNT(B9:K9)=10,((B9+D9+F9+H9+J9)-5+(25-(C9+E9+G9+I9+K9)))*2.5,"")</f>
        <v/>
      </c>
      <c r="M9" s="21"/>
      <c r="N9" s="21"/>
    </row>
    <row r="10" customFormat="false" ht="15" hidden="false" customHeight="false" outlineLevel="0" collapsed="false">
      <c r="A10" s="27" t="s">
        <v>126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 t="str">
        <f aca="false">IF(COUNT(B10:K10)=10,((B10+D10+F10+H10+J10)-5+(25-(C10+E10+G10+I10+K10)))*2.5,"")</f>
        <v/>
      </c>
      <c r="M10" s="21"/>
      <c r="N10" s="21"/>
    </row>
    <row r="11" customFormat="false" ht="15" hidden="false" customHeight="false" outlineLevel="0" collapsed="false">
      <c r="A11" s="27" t="s">
        <v>127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 t="str">
        <f aca="false">IF(COUNT(B11:K11)=10,((B11+D11+F11+H11+J11)-5+(25-(C11+E11+G11+I11+K11)))*2.5,"")</f>
        <v/>
      </c>
      <c r="M11" s="21"/>
      <c r="N11" s="21"/>
    </row>
    <row r="12" customFormat="false" ht="15" hidden="false" customHeight="false" outlineLevel="0" collapsed="false">
      <c r="A12" s="27" t="s">
        <v>128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 t="str">
        <f aca="false">IF(COUNT(B12:K12)=10,((B12+D12+F12+H12+J12)-5+(25-(C12+E12+G12+I12+K12)))*2.5,"")</f>
        <v/>
      </c>
      <c r="M12" s="21"/>
      <c r="N12" s="21"/>
    </row>
    <row r="13" customFormat="false" ht="15" hidden="false" customHeight="false" outlineLevel="0" collapsed="false">
      <c r="A13" s="27" t="s">
        <v>129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 t="str">
        <f aca="false">IF(COUNT(B13:K13)=10,((B13+D13+F13+H13+J13)-5+(25-(C13+E13+G13+I13+K13)))*2.5,"")</f>
        <v/>
      </c>
      <c r="M13" s="21"/>
      <c r="N13" s="21"/>
    </row>
    <row r="15" customFormat="false" ht="15" hidden="false" customHeight="false" outlineLevel="0" collapsed="false">
      <c r="A15" s="3" t="s">
        <v>165</v>
      </c>
      <c r="L15" s="30" t="str">
        <f aca="false">IFERROR(AVERAGEIFS(L6:L13,A6:A13,"P*"),"")</f>
        <v/>
      </c>
    </row>
  </sheetData>
  <dataValidations count="1">
    <dataValidation allowBlank="true" error="Solo números enteros de 1 a 5." errorStyle="stop" errorTitle="Valor inválido" operator="between" showDropDown="false" showErrorMessage="true" showInputMessage="false" sqref="B6:K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31.5" hidden="false" customHeight="true" outlineLevel="0" collapsed="false">
      <c r="A4" s="9" t="s">
        <v>168</v>
      </c>
      <c r="B4" s="9" t="s">
        <v>169</v>
      </c>
      <c r="C4" s="9" t="s">
        <v>24</v>
      </c>
      <c r="D4" s="9" t="s">
        <v>170</v>
      </c>
      <c r="E4" s="9" t="s">
        <v>171</v>
      </c>
      <c r="F4" s="9" t="s">
        <v>172</v>
      </c>
      <c r="G4" s="9" t="s">
        <v>173</v>
      </c>
      <c r="H4" s="9" t="s">
        <v>174</v>
      </c>
      <c r="I4" s="9" t="s">
        <v>175</v>
      </c>
      <c r="J4" s="9" t="s">
        <v>176</v>
      </c>
      <c r="K4" s="9" t="s">
        <v>177</v>
      </c>
    </row>
    <row r="5" customFormat="false" ht="23.85" hidden="false" customHeight="false" outlineLevel="0" collapsed="false">
      <c r="A5" s="19" t="s">
        <v>111</v>
      </c>
      <c r="B5" s="19" t="s">
        <v>178</v>
      </c>
      <c r="C5" s="19" t="s">
        <v>32</v>
      </c>
      <c r="D5" s="19" t="n">
        <v>3</v>
      </c>
      <c r="E5" s="19" t="n">
        <v>5</v>
      </c>
      <c r="F5" s="19" t="str">
        <f aca="false">IF(AND(ISNUMBER(D5),ISNUMBER(E5)),D5&amp;" de "&amp;E5,"")</f>
        <v>3 de 5</v>
      </c>
      <c r="G5" s="19" t="n">
        <v>3</v>
      </c>
      <c r="H5" s="19" t="str">
        <f aca="false">IF(G5=4,"Crítico",IF(G5=3,"Grave",IF(G5=2,"Moderado",IF(G5=1,"Menor",""))))</f>
        <v>Grave</v>
      </c>
      <c r="I5" s="19" t="s">
        <v>179</v>
      </c>
      <c r="J5" s="19" t="s">
        <v>180</v>
      </c>
      <c r="K5" s="19" t="s">
        <v>181</v>
      </c>
    </row>
    <row r="6" customFormat="false" ht="15" hidden="false" customHeight="false" outlineLevel="0" collapsed="false">
      <c r="A6" s="31" t="s">
        <v>182</v>
      </c>
      <c r="B6" s="21"/>
      <c r="C6" s="21"/>
      <c r="D6" s="21"/>
      <c r="E6" s="32" t="n">
        <f aca="false">COUNTIFS(Participantes!$A$6:$A$13,"P*",Participantes!$E$6:$E$13,"Sí")</f>
        <v>0</v>
      </c>
      <c r="F6" s="32" t="str">
        <f aca="false">IF(AND(ISNUMBER(D6),ISNUMBER(E6)),D6&amp;" de "&amp;E6,"")</f>
        <v/>
      </c>
      <c r="G6" s="21"/>
      <c r="H6" s="24" t="str">
        <f aca="false">IF(G6=4,"Crítico",IF(G6=3,"Grave",IF(G6=2,"Moderado",IF(G6=1,"Menor",""))))</f>
        <v/>
      </c>
      <c r="I6" s="21"/>
      <c r="J6" s="21"/>
      <c r="K6" s="21"/>
    </row>
    <row r="7" customFormat="false" ht="15" hidden="false" customHeight="false" outlineLevel="0" collapsed="false">
      <c r="A7" s="31" t="s">
        <v>183</v>
      </c>
      <c r="B7" s="21"/>
      <c r="C7" s="21"/>
      <c r="D7" s="21"/>
      <c r="E7" s="32" t="n">
        <f aca="false">COUNTIFS(Participantes!$A$6:$A$13,"P*",Participantes!$E$6:$E$13,"Sí")</f>
        <v>0</v>
      </c>
      <c r="F7" s="32" t="str">
        <f aca="false">IF(AND(ISNUMBER(D7),ISNUMBER(E7)),D7&amp;" de "&amp;E7,"")</f>
        <v/>
      </c>
      <c r="G7" s="21"/>
      <c r="H7" s="24" t="str">
        <f aca="false">IF(G7=4,"Crítico",IF(G7=3,"Grave",IF(G7=2,"Moderado",IF(G7=1,"Menor",""))))</f>
        <v/>
      </c>
      <c r="I7" s="21"/>
      <c r="J7" s="21"/>
      <c r="K7" s="21"/>
    </row>
    <row r="8" customFormat="false" ht="15" hidden="false" customHeight="false" outlineLevel="0" collapsed="false">
      <c r="A8" s="31" t="s">
        <v>184</v>
      </c>
      <c r="B8" s="21"/>
      <c r="C8" s="21"/>
      <c r="D8" s="21"/>
      <c r="E8" s="32" t="n">
        <f aca="false">COUNTIFS(Participantes!$A$6:$A$13,"P*",Participantes!$E$6:$E$13,"Sí")</f>
        <v>0</v>
      </c>
      <c r="F8" s="32" t="str">
        <f aca="false">IF(AND(ISNUMBER(D8),ISNUMBER(E8)),D8&amp;" de "&amp;E8,"")</f>
        <v/>
      </c>
      <c r="G8" s="21"/>
      <c r="H8" s="24" t="str">
        <f aca="false">IF(G8=4,"Crítico",IF(G8=3,"Grave",IF(G8=2,"Moderado",IF(G8=1,"Menor",""))))</f>
        <v/>
      </c>
      <c r="I8" s="21"/>
      <c r="J8" s="21"/>
      <c r="K8" s="21"/>
    </row>
    <row r="9" customFormat="false" ht="15" hidden="false" customHeight="false" outlineLevel="0" collapsed="false">
      <c r="A9" s="31" t="s">
        <v>185</v>
      </c>
      <c r="B9" s="21"/>
      <c r="C9" s="21"/>
      <c r="D9" s="21"/>
      <c r="E9" s="32" t="n">
        <f aca="false">COUNTIFS(Participantes!$A$6:$A$13,"P*",Participantes!$E$6:$E$13,"Sí")</f>
        <v>0</v>
      </c>
      <c r="F9" s="32" t="str">
        <f aca="false">IF(AND(ISNUMBER(D9),ISNUMBER(E9)),D9&amp;" de "&amp;E9,"")</f>
        <v/>
      </c>
      <c r="G9" s="21"/>
      <c r="H9" s="24" t="str">
        <f aca="false">IF(G9=4,"Crítico",IF(G9=3,"Grave",IF(G9=2,"Moderado",IF(G9=1,"Menor",""))))</f>
        <v/>
      </c>
      <c r="I9" s="21"/>
      <c r="J9" s="21"/>
      <c r="K9" s="21"/>
    </row>
    <row r="10" customFormat="false" ht="15" hidden="false" customHeight="false" outlineLevel="0" collapsed="false">
      <c r="A10" s="31" t="s">
        <v>186</v>
      </c>
      <c r="B10" s="21"/>
      <c r="C10" s="21"/>
      <c r="D10" s="21"/>
      <c r="E10" s="32" t="n">
        <f aca="false">COUNTIFS(Participantes!$A$6:$A$13,"P*",Participantes!$E$6:$E$13,"Sí")</f>
        <v>0</v>
      </c>
      <c r="F10" s="32" t="str">
        <f aca="false">IF(AND(ISNUMBER(D10),ISNUMBER(E10)),D10&amp;" de "&amp;E10,"")</f>
        <v/>
      </c>
      <c r="G10" s="21"/>
      <c r="H10" s="24" t="str">
        <f aca="false">IF(G10=4,"Crítico",IF(G10=3,"Grave",IF(G10=2,"Moderado",IF(G10=1,"Menor",""))))</f>
        <v/>
      </c>
      <c r="I10" s="21"/>
      <c r="J10" s="21"/>
      <c r="K10" s="21"/>
    </row>
    <row r="11" customFormat="false" ht="15" hidden="false" customHeight="false" outlineLevel="0" collapsed="false">
      <c r="A11" s="31" t="s">
        <v>187</v>
      </c>
      <c r="B11" s="21"/>
      <c r="C11" s="21"/>
      <c r="D11" s="21"/>
      <c r="E11" s="32" t="n">
        <f aca="false">COUNTIFS(Participantes!$A$6:$A$13,"P*",Participantes!$E$6:$E$13,"Sí")</f>
        <v>0</v>
      </c>
      <c r="F11" s="32" t="str">
        <f aca="false">IF(AND(ISNUMBER(D11),ISNUMBER(E11)),D11&amp;" de "&amp;E11,"")</f>
        <v/>
      </c>
      <c r="G11" s="21"/>
      <c r="H11" s="24" t="str">
        <f aca="false">IF(G11=4,"Crítico",IF(G11=3,"Grave",IF(G11=2,"Moderado",IF(G11=1,"Menor",""))))</f>
        <v/>
      </c>
      <c r="I11" s="21"/>
      <c r="J11" s="21"/>
      <c r="K11" s="21"/>
    </row>
    <row r="12" customFormat="false" ht="15" hidden="false" customHeight="false" outlineLevel="0" collapsed="false">
      <c r="A12" s="31" t="s">
        <v>188</v>
      </c>
      <c r="B12" s="21"/>
      <c r="C12" s="21"/>
      <c r="D12" s="21"/>
      <c r="E12" s="32" t="n">
        <f aca="false">COUNTIFS(Participantes!$A$6:$A$13,"P*",Participantes!$E$6:$E$13,"Sí")</f>
        <v>0</v>
      </c>
      <c r="F12" s="32" t="str">
        <f aca="false">IF(AND(ISNUMBER(D12),ISNUMBER(E12)),D12&amp;" de "&amp;E12,"")</f>
        <v/>
      </c>
      <c r="G12" s="21"/>
      <c r="H12" s="24" t="str">
        <f aca="false">IF(G12=4,"Crítico",IF(G12=3,"Grave",IF(G12=2,"Moderado",IF(G12=1,"Menor",""))))</f>
        <v/>
      </c>
      <c r="I12" s="21"/>
      <c r="J12" s="21"/>
      <c r="K12" s="21"/>
    </row>
    <row r="13" customFormat="false" ht="15" hidden="false" customHeight="false" outlineLevel="0" collapsed="false">
      <c r="A13" s="31" t="s">
        <v>189</v>
      </c>
      <c r="B13" s="21"/>
      <c r="C13" s="21"/>
      <c r="D13" s="21"/>
      <c r="E13" s="32" t="n">
        <f aca="false">COUNTIFS(Participantes!$A$6:$A$13,"P*",Participantes!$E$6:$E$13,"Sí")</f>
        <v>0</v>
      </c>
      <c r="F13" s="32" t="str">
        <f aca="false">IF(AND(ISNUMBER(D13),ISNUMBER(E13)),D13&amp;" de "&amp;E13,"")</f>
        <v/>
      </c>
      <c r="G13" s="21"/>
      <c r="H13" s="24" t="str">
        <f aca="false">IF(G13=4,"Crítico",IF(G13=3,"Grave",IF(G13=2,"Moderado",IF(G13=1,"Menor",""))))</f>
        <v/>
      </c>
      <c r="I13" s="21"/>
      <c r="J13" s="21"/>
      <c r="K13" s="21"/>
    </row>
    <row r="14" customFormat="false" ht="15" hidden="false" customHeight="false" outlineLevel="0" collapsed="false">
      <c r="A14" s="31" t="s">
        <v>190</v>
      </c>
      <c r="B14" s="21"/>
      <c r="C14" s="21"/>
      <c r="D14" s="21"/>
      <c r="E14" s="32" t="n">
        <f aca="false">COUNTIFS(Participantes!$A$6:$A$13,"P*",Participantes!$E$6:$E$13,"Sí")</f>
        <v>0</v>
      </c>
      <c r="F14" s="32" t="str">
        <f aca="false">IF(AND(ISNUMBER(D14),ISNUMBER(E14)),D14&amp;" de "&amp;E14,"")</f>
        <v/>
      </c>
      <c r="G14" s="21"/>
      <c r="H14" s="24" t="str">
        <f aca="false">IF(G14=4,"Crítico",IF(G14=3,"Grave",IF(G14=2,"Moderado",IF(G14=1,"Menor",""))))</f>
        <v/>
      </c>
      <c r="I14" s="21"/>
      <c r="J14" s="21"/>
      <c r="K14" s="21"/>
    </row>
    <row r="15" customFormat="false" ht="15" hidden="false" customHeight="false" outlineLevel="0" collapsed="false">
      <c r="A15" s="31" t="s">
        <v>191</v>
      </c>
      <c r="B15" s="21"/>
      <c r="C15" s="21"/>
      <c r="D15" s="21"/>
      <c r="E15" s="32" t="n">
        <f aca="false">COUNTIFS(Participantes!$A$6:$A$13,"P*",Participantes!$E$6:$E$13,"Sí")</f>
        <v>0</v>
      </c>
      <c r="F15" s="32" t="str">
        <f aca="false">IF(AND(ISNUMBER(D15),ISNUMBER(E15)),D15&amp;" de "&amp;E15,"")</f>
        <v/>
      </c>
      <c r="G15" s="21"/>
      <c r="H15" s="24" t="str">
        <f aca="false">IF(G15=4,"Crítico",IF(G15=3,"Grave",IF(G15=2,"Moderado",IF(G15=1,"Menor",""))))</f>
        <v/>
      </c>
      <c r="I15" s="21"/>
      <c r="J15" s="21"/>
      <c r="K15" s="21"/>
    </row>
  </sheetData>
  <conditionalFormatting sqref="H6:H15">
    <cfRule type="cellIs" priority="2" operator="equal" aboveAverage="0" equalAverage="0" bottom="0" percent="0" rank="0" text="" dxfId="0">
      <formula>"Crítico"</formula>
    </cfRule>
    <cfRule type="cellIs" priority="3" operator="equal" aboveAverage="0" equalAverage="0" bottom="0" percent="0" rank="0" text="" dxfId="10">
      <formula>"Grave"</formula>
    </cfRule>
  </conditionalFormatting>
  <dataValidations count="2">
    <dataValidation allowBlank="true" errorStyle="stop" operator="between" showDropDown="false" showErrorMessage="false" showInputMessage="false" sqref="G6:G15" type="whole">
      <formula1>1</formula1>
      <formula2>4</formula2>
    </dataValidation>
    <dataValidation allowBlank="true" errorStyle="stop" operator="between" showDropDown="false" showErrorMessage="false" showInputMessage="false" sqref="C6:C15" type="list">
      <formula1>"T1,T2,T3,T4,T5,Varias"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2026-10-25T22:03:58Z</dcterms:created>
  <dc:creator>openpyxl</dc:creator>
  <dc:description/>
  <dc:language>en-US</dc:language>
  <cp:lastModifiedBy/>
  <dcterms:modified xsi:type="dcterms:W3CDTF">2026-10-25T22:03:58Z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